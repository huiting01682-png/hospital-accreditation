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條文總表" sheetId="1" state="visible" r:id="rId1"/>
    <sheet xmlns:r="http://schemas.openxmlformats.org/officeDocument/2006/relationships" name="單位清單" sheetId="2" state="visible" r:id="rId2"/>
    <sheet xmlns:r="http://schemas.openxmlformats.org/officeDocument/2006/relationships" name="進度統計" sheetId="3" state="visible" r:id="rId3"/>
  </sheets>
  <definedNames>
    <definedName name="_xlnm._FilterDatabase" localSheetId="0" hidden="1">'條文總表'!$A$1:$O$302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2"/>
    </font>
    <font>
      <name val="Microsoft JhengHei"/>
      <color rgb="005A6478"/>
    </font>
    <font>
      <name val="Microsoft JhengHei"/>
      <b val="1"/>
      <sz val="12"/>
    </font>
  </fonts>
  <fills count="5">
    <fill>
      <patternFill/>
    </fill>
    <fill>
      <patternFill patternType="gray125"/>
    </fill>
    <fill>
      <patternFill patternType="solid">
        <fgColor rgb="002E5B8F"/>
      </patternFill>
    </fill>
    <fill>
      <patternFill patternType="solid">
        <fgColor rgb="003F4EA8"/>
      </patternFill>
    </fill>
    <fill>
      <patternFill patternType="solid">
        <fgColor rgb="001B2559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2" fillId="0" borderId="1" pivotButton="0" quotePrefix="0" xfId="0"/>
    <xf numFmtId="0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dxfs count="3">
    <dxf>
      <font>
        <name val="Microsoft JhengHei"/>
        <b val="1"/>
        <color rgb="000E8A63"/>
      </font>
    </dxf>
    <dxf>
      <font>
        <name val="Microsoft JhengHei"/>
        <b val="1"/>
        <color rgb="00D97706"/>
      </font>
    </dxf>
    <dxf>
      <font>
        <name val="Microsoft JhengHei"/>
        <b val="1"/>
        <color rgb="00E6394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30" customWidth="1" min="4" max="4"/>
    <col width="10" customWidth="1" min="5" max="5"/>
    <col width="50" customWidth="1" min="6" max="6"/>
    <col width="14" customWidth="1" min="7" max="7"/>
    <col width="10" customWidth="1" min="8" max="8"/>
    <col width="30" customWidth="1" min="9" max="9"/>
    <col width="10" customWidth="1" min="10" max="10"/>
    <col width="10" customWidth="1" min="11" max="11"/>
    <col width="12" customWidth="1" min="12" max="12"/>
    <col width="36" customWidth="1" min="13" max="13"/>
    <col width="30" customWidth="1" min="14" max="14"/>
    <col width="12" customWidth="1" min="15" max="15"/>
  </cols>
  <sheetData>
    <row r="1" ht="30" customHeight="1">
      <c r="A1" s="1" t="inlineStr">
        <is>
          <t>篇</t>
        </is>
      </c>
      <c r="B1" s="1" t="inlineStr">
        <is>
          <t>章</t>
        </is>
      </c>
      <c r="C1" s="1" t="inlineStr">
        <is>
          <t>條號</t>
        </is>
      </c>
      <c r="D1" s="1" t="inlineStr">
        <is>
          <t>條文名稱</t>
        </is>
      </c>
      <c r="E1" s="1" t="inlineStr">
        <is>
          <t>條文類別</t>
        </is>
      </c>
      <c r="F1" s="1" t="inlineStr">
        <is>
          <t>評量項目</t>
        </is>
      </c>
      <c r="G1" s="2" t="inlineStr">
        <is>
          <t>負責單位</t>
        </is>
      </c>
      <c r="H1" s="2" t="inlineStr">
        <is>
          <t>聯絡人</t>
        </is>
      </c>
      <c r="I1" s="2" t="inlineStr">
        <is>
          <t>佐證資料</t>
        </is>
      </c>
      <c r="J1" s="2" t="inlineStr">
        <is>
          <t>自評等級</t>
        </is>
      </c>
      <c r="K1" s="2" t="inlineStr">
        <is>
          <t>進度</t>
        </is>
      </c>
      <c r="L1" s="2" t="inlineStr">
        <is>
          <t>預計完成日</t>
        </is>
      </c>
      <c r="M1" s="2" t="inlineStr">
        <is>
          <t>委員建議事項</t>
        </is>
      </c>
      <c r="N1" s="2" t="inlineStr">
        <is>
          <t>待改善事項</t>
        </is>
      </c>
      <c r="O1" s="2" t="inlineStr">
        <is>
          <t>更新日期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  <c r="M2" s="3" t="n"/>
      <c r="N2" s="3" t="n"/>
      <c r="O2" s="4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  <c r="M3" s="3" t="n"/>
      <c r="N3" s="3" t="n"/>
      <c r="O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3" t="n"/>
      <c r="N4" s="3" t="n"/>
      <c r="O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  <c r="M5" s="3" t="n"/>
      <c r="N5" s="3" t="n"/>
      <c r="O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  <c r="M6" s="3" t="n"/>
      <c r="N6" s="3" t="n"/>
      <c r="O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  <c r="M7" s="3" t="n"/>
      <c r="N7" s="3" t="n"/>
      <c r="O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  <c r="M8" s="3" t="n"/>
      <c r="N8" s="3" t="n"/>
      <c r="O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  <c r="M9" s="3" t="n"/>
      <c r="N9" s="3" t="n"/>
      <c r="O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  <c r="M10" s="3" t="n"/>
      <c r="N10" s="3" t="n"/>
      <c r="O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  <c r="M11" s="3" t="n"/>
      <c r="N11" s="3" t="n"/>
      <c r="O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  <c r="M12" s="3" t="n"/>
      <c r="N12" s="3" t="n"/>
      <c r="O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  <c r="M13" s="3" t="n"/>
      <c r="N13" s="3" t="n"/>
      <c r="O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  <c r="M14" s="3" t="n"/>
      <c r="N14" s="3" t="n"/>
      <c r="O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  <c r="M15" s="3" t="n"/>
      <c r="N15" s="3" t="n"/>
      <c r="O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  <c r="M16" s="3" t="n"/>
      <c r="N16" s="3" t="n"/>
      <c r="O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  <c r="M17" s="3" t="n"/>
      <c r="N17" s="3" t="n"/>
      <c r="O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  <c r="M18" s="3" t="n"/>
      <c r="N18" s="3" t="n"/>
      <c r="O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  <c r="M19" s="3" t="n"/>
      <c r="N19" s="3" t="n"/>
      <c r="O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  <c r="M20" s="3" t="n"/>
      <c r="N20" s="3" t="n"/>
      <c r="O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  <c r="M21" s="3" t="n"/>
      <c r="N21" s="3" t="n"/>
      <c r="O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  <c r="M22" s="3" t="n"/>
      <c r="N22" s="3" t="n"/>
      <c r="O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  <c r="M23" s="3" t="n"/>
      <c r="N23" s="3" t="n"/>
      <c r="O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  <c r="M24" s="3" t="n"/>
      <c r="N24" s="3" t="n"/>
      <c r="O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  <c r="M25" s="3" t="n"/>
      <c r="N25" s="3" t="n"/>
      <c r="O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  <c r="M26" s="3" t="n"/>
      <c r="N26" s="3" t="n"/>
      <c r="O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  <c r="M27" s="3" t="n"/>
      <c r="N27" s="3" t="n"/>
      <c r="O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  <c r="M28" s="3" t="n"/>
      <c r="N28" s="3" t="n"/>
      <c r="O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  <c r="M29" s="3" t="n"/>
      <c r="N29" s="3" t="n"/>
      <c r="O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  <c r="M30" s="3" t="n"/>
      <c r="N30" s="3" t="n"/>
      <c r="O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  <c r="M31" s="3" t="n"/>
      <c r="N31" s="3" t="n"/>
      <c r="O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  <c r="M32" s="3" t="n"/>
      <c r="N32" s="3" t="n"/>
      <c r="O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  <c r="M33" s="3" t="n"/>
      <c r="N33" s="3" t="n"/>
      <c r="O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  <c r="M34" s="3" t="n"/>
      <c r="N34" s="3" t="n"/>
      <c r="O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  <c r="M35" s="3" t="n"/>
      <c r="N35" s="3" t="n"/>
      <c r="O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  <c r="M36" s="3" t="n"/>
      <c r="N36" s="3" t="n"/>
      <c r="O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  <c r="M37" s="3" t="n"/>
      <c r="N37" s="3" t="n"/>
      <c r="O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  <c r="M38" s="3" t="n"/>
      <c r="N38" s="3" t="n"/>
      <c r="O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  <c r="M39" s="3" t="n"/>
      <c r="N39" s="3" t="n"/>
      <c r="O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  <c r="M40" s="3" t="n"/>
      <c r="N40" s="3" t="n"/>
      <c r="O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  <c r="M41" s="3" t="n"/>
      <c r="N41" s="3" t="n"/>
      <c r="O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  <c r="M42" s="3" t="n"/>
      <c r="N42" s="3" t="n"/>
      <c r="O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  <c r="M43" s="3" t="n"/>
      <c r="N43" s="3" t="n"/>
      <c r="O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  <c r="M44" s="3" t="n"/>
      <c r="N44" s="3" t="n"/>
      <c r="O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  <c r="M45" s="3" t="n"/>
      <c r="N45" s="3" t="n"/>
      <c r="O45" s="4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  <c r="M46" s="3" t="n"/>
      <c r="N46" s="3" t="n"/>
      <c r="O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  <c r="M47" s="3" t="n"/>
      <c r="N47" s="3" t="n"/>
      <c r="O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  <c r="M48" s="3" t="n"/>
      <c r="N48" s="3" t="n"/>
      <c r="O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  <c r="M49" s="3" t="n"/>
      <c r="N49" s="3" t="n"/>
      <c r="O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  <c r="M50" s="3" t="n"/>
      <c r="N50" s="3" t="n"/>
      <c r="O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  <c r="M51" s="3" t="n"/>
      <c r="N51" s="3" t="n"/>
      <c r="O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  <c r="M52" s="3" t="n"/>
      <c r="N52" s="3" t="n"/>
      <c r="O52" s="4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  <c r="M53" s="3" t="n"/>
      <c r="N53" s="3" t="n"/>
      <c r="O53" s="4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  <c r="M54" s="3" t="n"/>
      <c r="N54" s="3" t="n"/>
      <c r="O54" s="4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  <c r="M55" s="3" t="n"/>
      <c r="N55" s="3" t="n"/>
      <c r="O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  <c r="M56" s="3" t="n"/>
      <c r="N56" s="3" t="n"/>
      <c r="O56" s="4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  <c r="M57" s="3" t="n"/>
      <c r="N57" s="3" t="n"/>
      <c r="O57" s="4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  <c r="M58" s="3" t="n"/>
      <c r="N58" s="3" t="n"/>
      <c r="O58" s="4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  <c r="M59" s="3" t="n"/>
      <c r="N59" s="3" t="n"/>
      <c r="O59" s="4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  <c r="M60" s="3" t="n"/>
      <c r="N60" s="3" t="n"/>
      <c r="O60" s="4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  <c r="M61" s="3" t="n"/>
      <c r="N61" s="3" t="n"/>
      <c r="O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  <c r="M62" s="3" t="n"/>
      <c r="N62" s="3" t="n"/>
      <c r="O62" s="4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  <c r="M63" s="3" t="n"/>
      <c r="N63" s="3" t="n"/>
      <c r="O63" s="4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  <c r="M64" s="3" t="n"/>
      <c r="N64" s="3" t="n"/>
      <c r="O64" s="4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  <c r="M65" s="3" t="n"/>
      <c r="N65" s="3" t="n"/>
      <c r="O65" s="4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  <c r="M66" s="3" t="n"/>
      <c r="N66" s="3" t="n"/>
      <c r="O66" s="4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  <c r="M67" s="3" t="n"/>
      <c r="N67" s="3" t="n"/>
      <c r="O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  <c r="M68" s="3" t="n"/>
      <c r="N68" s="3" t="n"/>
      <c r="O68" s="4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  <c r="M69" s="3" t="n"/>
      <c r="N69" s="3" t="n"/>
      <c r="O69" s="4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  <c r="M70" s="3" t="n"/>
      <c r="N70" s="3" t="n"/>
      <c r="O70" s="4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  <c r="M71" s="3" t="n"/>
      <c r="N71" s="3" t="n"/>
      <c r="O71" s="4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  <c r="M72" s="3" t="n"/>
      <c r="N72" s="3" t="n"/>
      <c r="O72" s="4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  <c r="M73" s="3" t="n"/>
      <c r="N73" s="3" t="n"/>
      <c r="O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  <c r="M74" s="3" t="n"/>
      <c r="N74" s="3" t="n"/>
      <c r="O74" s="4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  <c r="M75" s="3" t="n"/>
      <c r="N75" s="3" t="n"/>
      <c r="O75" s="4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  <c r="M76" s="3" t="n"/>
      <c r="N76" s="3" t="n"/>
      <c r="O76" s="4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  <c r="M77" s="3" t="n"/>
      <c r="N77" s="3" t="n"/>
      <c r="O77" s="4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  <c r="M78" s="3" t="n"/>
      <c r="N78" s="3" t="n"/>
      <c r="O78" s="4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  <c r="M79" s="3" t="n"/>
      <c r="N79" s="3" t="n"/>
      <c r="O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  <c r="M80" s="3" t="n"/>
      <c r="N80" s="3" t="n"/>
      <c r="O80" s="4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  <c r="M81" s="3" t="n"/>
      <c r="N81" s="3" t="n"/>
      <c r="O81" s="4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  <c r="M82" s="3" t="n"/>
      <c r="N82" s="3" t="n"/>
      <c r="O82" s="4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  <c r="M83" s="3" t="n"/>
      <c r="N83" s="3" t="n"/>
      <c r="O83" s="4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  <c r="M84" s="3" t="n"/>
      <c r="N84" s="3" t="n"/>
      <c r="O84" s="4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  <c r="M85" s="3" t="n"/>
      <c r="N85" s="3" t="n"/>
      <c r="O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  <c r="M86" s="3" t="n"/>
      <c r="N86" s="3" t="n"/>
      <c r="O86" s="4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  <c r="M87" s="3" t="n"/>
      <c r="N87" s="3" t="n"/>
      <c r="O87" s="4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  <c r="M88" s="3" t="n"/>
      <c r="N88" s="3" t="n"/>
      <c r="O88" s="4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  <c r="M89" s="3" t="n"/>
      <c r="N89" s="3" t="n"/>
      <c r="O89" s="4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  <c r="M90" s="3" t="n"/>
      <c r="N90" s="3" t="n"/>
      <c r="O90" s="4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  <c r="M91" s="3" t="n"/>
      <c r="N91" s="3" t="n"/>
      <c r="O91" s="4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  <c r="M92" s="3" t="n"/>
      <c r="N92" s="3" t="n"/>
      <c r="O92" s="4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  <c r="M93" s="3" t="n"/>
      <c r="N93" s="3" t="n"/>
      <c r="O93" s="4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  <c r="M94" s="3" t="n"/>
      <c r="N94" s="3" t="n"/>
      <c r="O94" s="4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  <c r="M95" s="3" t="n"/>
      <c r="N95" s="3" t="n"/>
      <c r="O95" s="4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  <c r="M96" s="3" t="n"/>
      <c r="N96" s="3" t="n"/>
      <c r="O96" s="4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  <c r="M97" s="3" t="n"/>
      <c r="N97" s="3" t="n"/>
      <c r="O97" s="4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  <c r="M98" s="3" t="n"/>
      <c r="N98" s="3" t="n"/>
      <c r="O98" s="4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  <c r="M99" s="3" t="n"/>
      <c r="N99" s="3" t="n"/>
      <c r="O99" s="4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  <c r="M100" s="3" t="n"/>
      <c r="N100" s="3" t="n"/>
      <c r="O100" s="4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4" t="n"/>
      <c r="M101" s="3" t="n"/>
      <c r="N101" s="3" t="n"/>
      <c r="O101" s="4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  <c r="M102" s="3" t="n"/>
      <c r="N102" s="3" t="n"/>
      <c r="O102" s="4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4" t="n"/>
      <c r="M103" s="3" t="n"/>
      <c r="N103" s="3" t="n"/>
      <c r="O103" s="4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4" t="n"/>
      <c r="M104" s="3" t="n"/>
      <c r="N104" s="3" t="n"/>
      <c r="O104" s="4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4" t="n"/>
      <c r="M105" s="3" t="n"/>
      <c r="N105" s="3" t="n"/>
      <c r="O105" s="4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4" t="n"/>
      <c r="M106" s="3" t="n"/>
      <c r="N106" s="3" t="n"/>
      <c r="O106" s="4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" t="n"/>
      <c r="M107" s="3" t="n"/>
      <c r="N107" s="3" t="n"/>
      <c r="O107" s="4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4" t="n"/>
      <c r="M108" s="3" t="n"/>
      <c r="N108" s="3" t="n"/>
      <c r="O108" s="4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  <c r="M109" s="3" t="n"/>
      <c r="N109" s="3" t="n"/>
      <c r="O109" s="4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  <c r="M110" s="3" t="n"/>
      <c r="N110" s="3" t="n"/>
      <c r="O110" s="4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  <c r="M111" s="3" t="n"/>
      <c r="N111" s="3" t="n"/>
      <c r="O111" s="4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  <c r="M112" s="3" t="n"/>
      <c r="N112" s="3" t="n"/>
      <c r="O112" s="4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  <c r="M113" s="3" t="n"/>
      <c r="N113" s="3" t="n"/>
      <c r="O113" s="4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  <c r="M114" s="3" t="n"/>
      <c r="N114" s="3" t="n"/>
      <c r="O114" s="4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4" t="n"/>
      <c r="M115" s="3" t="n"/>
      <c r="N115" s="3" t="n"/>
      <c r="O115" s="4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  <c r="M116" s="3" t="n"/>
      <c r="N116" s="3" t="n"/>
      <c r="O116" s="4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" t="n"/>
      <c r="M117" s="3" t="n"/>
      <c r="N117" s="3" t="n"/>
      <c r="O117" s="4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  <c r="M118" s="3" t="n"/>
      <c r="N118" s="3" t="n"/>
      <c r="O118" s="4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  <c r="M119" s="3" t="n"/>
      <c r="N119" s="3" t="n"/>
      <c r="O119" s="4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4" t="n"/>
      <c r="M120" s="3" t="n"/>
      <c r="N120" s="3" t="n"/>
      <c r="O120" s="4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4" t="n"/>
      <c r="M121" s="3" t="n"/>
      <c r="N121" s="3" t="n"/>
      <c r="O121" s="4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4" t="n"/>
      <c r="M122" s="3" t="n"/>
      <c r="N122" s="3" t="n"/>
      <c r="O122" s="4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  <c r="M123" s="3" t="n"/>
      <c r="N123" s="3" t="n"/>
      <c r="O123" s="4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  <c r="M124" s="3" t="n"/>
      <c r="N124" s="3" t="n"/>
      <c r="O124" s="4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  <c r="M125" s="3" t="n"/>
      <c r="N125" s="3" t="n"/>
      <c r="O125" s="4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  <c r="M126" s="3" t="n"/>
      <c r="N126" s="3" t="n"/>
      <c r="O126" s="4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  <c r="M127" s="3" t="n"/>
      <c r="N127" s="3" t="n"/>
      <c r="O127" s="4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4" t="n"/>
      <c r="M128" s="3" t="n"/>
      <c r="N128" s="3" t="n"/>
      <c r="O128" s="4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  <c r="M129" s="3" t="n"/>
      <c r="N129" s="3" t="n"/>
      <c r="O129" s="4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  <c r="M130" s="3" t="n"/>
      <c r="N130" s="3" t="n"/>
      <c r="O130" s="4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4" t="n"/>
      <c r="M131" s="3" t="n"/>
      <c r="N131" s="3" t="n"/>
      <c r="O131" s="4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  <c r="M132" s="3" t="n"/>
      <c r="N132" s="3" t="n"/>
      <c r="O132" s="4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" t="n"/>
      <c r="M133" s="3" t="n"/>
      <c r="N133" s="3" t="n"/>
      <c r="O133" s="4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4" t="n"/>
      <c r="M134" s="3" t="n"/>
      <c r="N134" s="3" t="n"/>
      <c r="O134" s="4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" t="n"/>
      <c r="M135" s="3" t="n"/>
      <c r="N135" s="3" t="n"/>
      <c r="O135" s="4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4" t="n"/>
      <c r="M136" s="3" t="n"/>
      <c r="N136" s="3" t="n"/>
      <c r="O136" s="4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  <c r="M137" s="3" t="n"/>
      <c r="N137" s="3" t="n"/>
      <c r="O137" s="4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  <c r="M138" s="3" t="n"/>
      <c r="N138" s="3" t="n"/>
      <c r="O138" s="4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  <c r="M139" s="3" t="n"/>
      <c r="N139" s="3" t="n"/>
      <c r="O139" s="4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  <c r="M140" s="3" t="n"/>
      <c r="N140" s="3" t="n"/>
      <c r="O140" s="4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  <c r="M141" s="3" t="n"/>
      <c r="N141" s="3" t="n"/>
      <c r="O141" s="4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  <c r="M142" s="3" t="n"/>
      <c r="N142" s="3" t="n"/>
      <c r="O142" s="4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  <c r="M143" s="3" t="n"/>
      <c r="N143" s="3" t="n"/>
      <c r="O143" s="4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  <c r="M144" s="3" t="n"/>
      <c r="N144" s="3" t="n"/>
      <c r="O144" s="4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  <c r="M145" s="3" t="n"/>
      <c r="N145" s="3" t="n"/>
      <c r="O145" s="4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  <c r="M146" s="3" t="n"/>
      <c r="N146" s="3" t="n"/>
      <c r="O146" s="4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  <c r="M147" s="3" t="n"/>
      <c r="N147" s="3" t="n"/>
      <c r="O147" s="4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  <c r="M148" s="3" t="n"/>
      <c r="N148" s="3" t="n"/>
      <c r="O148" s="4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4" t="n"/>
      <c r="M149" s="3" t="n"/>
      <c r="N149" s="3" t="n"/>
      <c r="O149" s="4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  <c r="M150" s="3" t="n"/>
      <c r="N150" s="3" t="n"/>
      <c r="O150" s="4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  <c r="M151" s="3" t="n"/>
      <c r="N151" s="3" t="n"/>
      <c r="O151" s="4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4" t="n"/>
      <c r="M152" s="3" t="n"/>
      <c r="N152" s="3" t="n"/>
      <c r="O152" s="4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  <c r="M153" s="3" t="n"/>
      <c r="N153" s="3" t="n"/>
      <c r="O153" s="4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4" t="n"/>
      <c r="M154" s="3" t="n"/>
      <c r="N154" s="3" t="n"/>
      <c r="O154" s="4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  <c r="M155" s="3" t="n"/>
      <c r="N155" s="3" t="n"/>
      <c r="O155" s="4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  <c r="M156" s="3" t="n"/>
      <c r="N156" s="3" t="n"/>
      <c r="O156" s="4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  <c r="M157" s="3" t="n"/>
      <c r="N157" s="3" t="n"/>
      <c r="O157" s="4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  <c r="M158" s="3" t="n"/>
      <c r="N158" s="3" t="n"/>
      <c r="O158" s="4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4" t="n"/>
      <c r="M159" s="3" t="n"/>
      <c r="N159" s="3" t="n"/>
      <c r="O159" s="4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  <c r="M160" s="3" t="n"/>
      <c r="N160" s="3" t="n"/>
      <c r="O160" s="4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4" t="n"/>
      <c r="M161" s="3" t="n"/>
      <c r="N161" s="3" t="n"/>
      <c r="O161" s="4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4" t="n"/>
      <c r="M162" s="3" t="n"/>
      <c r="N162" s="3" t="n"/>
      <c r="O162" s="4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  <c r="M163" s="3" t="n"/>
      <c r="N163" s="3" t="n"/>
      <c r="O163" s="4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  <c r="M164" s="3" t="n"/>
      <c r="N164" s="3" t="n"/>
      <c r="O164" s="4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4" t="n"/>
      <c r="M165" s="3" t="n"/>
      <c r="N165" s="3" t="n"/>
      <c r="O165" s="4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  <c r="M166" s="3" t="n"/>
      <c r="N166" s="3" t="n"/>
      <c r="O166" s="4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  <c r="M167" s="3" t="n"/>
      <c r="N167" s="3" t="n"/>
      <c r="O167" s="4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4" t="n"/>
      <c r="M168" s="3" t="n"/>
      <c r="N168" s="3" t="n"/>
      <c r="O168" s="4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4" t="n"/>
      <c r="M169" s="3" t="n"/>
      <c r="N169" s="3" t="n"/>
      <c r="O169" s="4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  <c r="M170" s="3" t="n"/>
      <c r="N170" s="3" t="n"/>
      <c r="O170" s="4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  <c r="M171" s="3" t="n"/>
      <c r="N171" s="3" t="n"/>
      <c r="O171" s="4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  <c r="M172" s="3" t="n"/>
      <c r="N172" s="3" t="n"/>
      <c r="O172" s="4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  <c r="M173" s="3" t="n"/>
      <c r="N173" s="3" t="n"/>
      <c r="O173" s="4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4" t="n"/>
      <c r="M174" s="3" t="n"/>
      <c r="N174" s="3" t="n"/>
      <c r="O174" s="4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  <c r="M175" s="3" t="n"/>
      <c r="N175" s="3" t="n"/>
      <c r="O175" s="4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4" t="n"/>
      <c r="M176" s="3" t="n"/>
      <c r="N176" s="3" t="n"/>
      <c r="O176" s="4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  <c r="M177" s="3" t="n"/>
      <c r="N177" s="3" t="n"/>
      <c r="O177" s="4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  <c r="M178" s="3" t="n"/>
      <c r="N178" s="3" t="n"/>
      <c r="O178" s="4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4" t="n"/>
      <c r="M179" s="3" t="n"/>
      <c r="N179" s="3" t="n"/>
      <c r="O179" s="4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  <c r="M180" s="3" t="n"/>
      <c r="N180" s="3" t="n"/>
      <c r="O180" s="4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4" t="n"/>
      <c r="M181" s="3" t="n"/>
      <c r="N181" s="3" t="n"/>
      <c r="O181" s="4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4" t="n"/>
      <c r="M182" s="3" t="n"/>
      <c r="N182" s="3" t="n"/>
      <c r="O182" s="4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4" t="n"/>
      <c r="M183" s="3" t="n"/>
      <c r="N183" s="3" t="n"/>
      <c r="O183" s="4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4" t="n"/>
      <c r="M184" s="3" t="n"/>
      <c r="N184" s="3" t="n"/>
      <c r="O184" s="4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  <c r="M185" s="3" t="n"/>
      <c r="N185" s="3" t="n"/>
      <c r="O185" s="4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  <c r="M186" s="3" t="n"/>
      <c r="N186" s="3" t="n"/>
      <c r="O186" s="4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  <c r="M187" s="3" t="n"/>
      <c r="N187" s="3" t="n"/>
      <c r="O187" s="4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  <c r="M188" s="3" t="n"/>
      <c r="N188" s="3" t="n"/>
      <c r="O188" s="4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" t="n"/>
      <c r="M189" s="3" t="n"/>
      <c r="N189" s="3" t="n"/>
      <c r="O189" s="4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  <c r="M190" s="3" t="n"/>
      <c r="N190" s="3" t="n"/>
      <c r="O190" s="4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  <c r="M191" s="3" t="n"/>
      <c r="N191" s="3" t="n"/>
      <c r="O191" s="4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4" t="n"/>
      <c r="M192" s="3" t="n"/>
      <c r="N192" s="3" t="n"/>
      <c r="O192" s="4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  <c r="M193" s="3" t="n"/>
      <c r="N193" s="3" t="n"/>
      <c r="O193" s="4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" t="n"/>
      <c r="M194" s="3" t="n"/>
      <c r="N194" s="3" t="n"/>
      <c r="O194" s="4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4" t="n"/>
      <c r="M195" s="3" t="n"/>
      <c r="N195" s="3" t="n"/>
      <c r="O195" s="4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4" t="n"/>
      <c r="M196" s="3" t="n"/>
      <c r="N196" s="3" t="n"/>
      <c r="O196" s="4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" t="n"/>
      <c r="M197" s="3" t="n"/>
      <c r="N197" s="3" t="n"/>
      <c r="O197" s="4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4" t="n"/>
      <c r="M198" s="3" t="n"/>
      <c r="N198" s="3" t="n"/>
      <c r="O198" s="4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4" t="n"/>
      <c r="M199" s="3" t="n"/>
      <c r="N199" s="3" t="n"/>
      <c r="O199" s="4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4" t="n"/>
      <c r="M200" s="3" t="n"/>
      <c r="N200" s="3" t="n"/>
      <c r="O200" s="4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  <c r="M201" s="3" t="n"/>
      <c r="N201" s="3" t="n"/>
      <c r="O201" s="4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  <c r="M202" s="3" t="n"/>
      <c r="N202" s="3" t="n"/>
      <c r="O202" s="4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  <c r="M203" s="3" t="n"/>
      <c r="N203" s="3" t="n"/>
      <c r="O203" s="4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  <c r="M204" s="3" t="n"/>
      <c r="N204" s="3" t="n"/>
      <c r="O204" s="4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4" t="n"/>
      <c r="M205" s="3" t="n"/>
      <c r="N205" s="3" t="n"/>
      <c r="O205" s="4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  <c r="M206" s="3" t="n"/>
      <c r="N206" s="3" t="n"/>
      <c r="O206" s="4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  <c r="M207" s="3" t="n"/>
      <c r="N207" s="3" t="n"/>
      <c r="O207" s="4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4" t="n"/>
      <c r="M208" s="3" t="n"/>
      <c r="N208" s="3" t="n"/>
      <c r="O208" s="4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4" t="n"/>
      <c r="M209" s="3" t="n"/>
      <c r="N209" s="3" t="n"/>
      <c r="O209" s="4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4" t="n"/>
      <c r="M210" s="3" t="n"/>
      <c r="N210" s="3" t="n"/>
      <c r="O210" s="4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4" t="n"/>
      <c r="M211" s="3" t="n"/>
      <c r="N211" s="3" t="n"/>
      <c r="O211" s="4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4" t="n"/>
      <c r="M212" s="3" t="n"/>
      <c r="N212" s="3" t="n"/>
      <c r="O212" s="4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4" t="n"/>
      <c r="M213" s="3" t="n"/>
      <c r="N213" s="3" t="n"/>
      <c r="O213" s="4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4" t="n"/>
      <c r="M214" s="3" t="n"/>
      <c r="N214" s="3" t="n"/>
      <c r="O214" s="4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4" t="n"/>
      <c r="M215" s="3" t="n"/>
      <c r="N215" s="3" t="n"/>
      <c r="O215" s="4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  <c r="M216" s="3" t="n"/>
      <c r="N216" s="3" t="n"/>
      <c r="O216" s="4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  <c r="M217" s="3" t="n"/>
      <c r="N217" s="3" t="n"/>
      <c r="O217" s="4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  <c r="M218" s="3" t="n"/>
      <c r="N218" s="3" t="n"/>
      <c r="O218" s="4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  <c r="M219" s="3" t="n"/>
      <c r="N219" s="3" t="n"/>
      <c r="O219" s="4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  <c r="M220" s="3" t="n"/>
      <c r="N220" s="3" t="n"/>
      <c r="O220" s="4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  <c r="M221" s="3" t="n"/>
      <c r="N221" s="3" t="n"/>
      <c r="O221" s="4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4" t="n"/>
      <c r="M222" s="3" t="n"/>
      <c r="N222" s="3" t="n"/>
      <c r="O222" s="4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4" t="n"/>
      <c r="M223" s="3" t="n"/>
      <c r="N223" s="3" t="n"/>
      <c r="O223" s="4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4" t="n"/>
      <c r="M224" s="3" t="n"/>
      <c r="N224" s="3" t="n"/>
      <c r="O224" s="4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4" t="n"/>
      <c r="M225" s="3" t="n"/>
      <c r="N225" s="3" t="n"/>
      <c r="O225" s="4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4" t="n"/>
      <c r="M226" s="3" t="n"/>
      <c r="N226" s="3" t="n"/>
      <c r="O226" s="4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4" t="n"/>
      <c r="M227" s="3" t="n"/>
      <c r="N227" s="3" t="n"/>
      <c r="O227" s="4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4" t="n"/>
      <c r="M228" s="3" t="n"/>
      <c r="N228" s="3" t="n"/>
      <c r="O228" s="4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4" t="n"/>
      <c r="M229" s="3" t="n"/>
      <c r="N229" s="3" t="n"/>
      <c r="O229" s="4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  <c r="M230" s="3" t="n"/>
      <c r="N230" s="3" t="n"/>
      <c r="O230" s="4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  <c r="M231" s="3" t="n"/>
      <c r="N231" s="3" t="n"/>
      <c r="O231" s="4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  <c r="M232" s="3" t="n"/>
      <c r="N232" s="3" t="n"/>
      <c r="O232" s="4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  <c r="M233" s="3" t="n"/>
      <c r="N233" s="3" t="n"/>
      <c r="O233" s="4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  <c r="M234" s="3" t="n"/>
      <c r="N234" s="3" t="n"/>
      <c r="O234" s="4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4" t="n"/>
      <c r="M235" s="3" t="n"/>
      <c r="N235" s="3" t="n"/>
      <c r="O235" s="4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  <c r="M236" s="3" t="n"/>
      <c r="N236" s="3" t="n"/>
      <c r="O236" s="4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  <c r="M237" s="3" t="n"/>
      <c r="N237" s="3" t="n"/>
      <c r="O237" s="4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4" t="n"/>
      <c r="M238" s="3" t="n"/>
      <c r="N238" s="3" t="n"/>
      <c r="O238" s="4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4" t="n"/>
      <c r="M239" s="3" t="n"/>
      <c r="N239" s="3" t="n"/>
      <c r="O239" s="4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4" t="n"/>
      <c r="M240" s="3" t="n"/>
      <c r="N240" s="3" t="n"/>
      <c r="O240" s="4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4" t="n"/>
      <c r="M241" s="3" t="n"/>
      <c r="N241" s="3" t="n"/>
      <c r="O241" s="4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4" t="n"/>
      <c r="M242" s="3" t="n"/>
      <c r="N242" s="3" t="n"/>
      <c r="O242" s="4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  <c r="M243" s="3" t="n"/>
      <c r="N243" s="3" t="n"/>
      <c r="O243" s="4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  <c r="M244" s="3" t="n"/>
      <c r="N244" s="3" t="n"/>
      <c r="O244" s="4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4" t="n"/>
      <c r="M245" s="3" t="n"/>
      <c r="N245" s="3" t="n"/>
      <c r="O245" s="4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  <c r="M246" s="3" t="n"/>
      <c r="N246" s="3" t="n"/>
      <c r="O246" s="4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  <c r="M247" s="3" t="n"/>
      <c r="N247" s="3" t="n"/>
      <c r="O247" s="4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  <c r="M248" s="3" t="n"/>
      <c r="N248" s="3" t="n"/>
      <c r="O248" s="4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  <c r="M249" s="3" t="n"/>
      <c r="N249" s="3" t="n"/>
      <c r="O249" s="4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  <c r="M250" s="3" t="n"/>
      <c r="N250" s="3" t="n"/>
      <c r="O250" s="4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4" t="n"/>
      <c r="M251" s="3" t="n"/>
      <c r="N251" s="3" t="n"/>
      <c r="O251" s="4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  <c r="M252" s="3" t="n"/>
      <c r="N252" s="3" t="n"/>
      <c r="O252" s="4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4" t="n"/>
      <c r="M253" s="3" t="n"/>
      <c r="N253" s="3" t="n"/>
      <c r="O253" s="4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4" t="n"/>
      <c r="M254" s="3" t="n"/>
      <c r="N254" s="3" t="n"/>
      <c r="O254" s="4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4" t="n"/>
      <c r="M255" s="3" t="n"/>
      <c r="N255" s="3" t="n"/>
      <c r="O255" s="4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4" t="n"/>
      <c r="M256" s="3" t="n"/>
      <c r="N256" s="3" t="n"/>
      <c r="O256" s="4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  <c r="M257" s="3" t="n"/>
      <c r="N257" s="3" t="n"/>
      <c r="O257" s="4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  <c r="M258" s="3" t="n"/>
      <c r="N258" s="3" t="n"/>
      <c r="O258" s="4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4" t="n"/>
      <c r="M259" s="3" t="n"/>
      <c r="N259" s="3" t="n"/>
      <c r="O259" s="4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  <c r="M260" s="3" t="n"/>
      <c r="N260" s="3" t="n"/>
      <c r="O260" s="4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4" t="n"/>
      <c r="M261" s="3" t="n"/>
      <c r="N261" s="3" t="n"/>
      <c r="O261" s="4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  <c r="M262" s="3" t="n"/>
      <c r="N262" s="3" t="n"/>
      <c r="O262" s="4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  <c r="M263" s="3" t="n"/>
      <c r="N263" s="3" t="n"/>
      <c r="O263" s="4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  <c r="M264" s="3" t="n"/>
      <c r="N264" s="3" t="n"/>
      <c r="O264" s="4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  <c r="M265" s="3" t="n"/>
      <c r="N265" s="3" t="n"/>
      <c r="O265" s="4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4" t="n"/>
      <c r="M266" s="3" t="n"/>
      <c r="N266" s="3" t="n"/>
      <c r="O266" s="4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  <c r="M267" s="3" t="n"/>
      <c r="N267" s="3" t="n"/>
      <c r="O267" s="4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4" t="n"/>
      <c r="M268" s="3" t="n"/>
      <c r="N268" s="3" t="n"/>
      <c r="O268" s="4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4" t="n"/>
      <c r="M269" s="3" t="n"/>
      <c r="N269" s="3" t="n"/>
      <c r="O269" s="4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  <c r="M270" s="3" t="n"/>
      <c r="N270" s="3" t="n"/>
      <c r="O270" s="4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  <c r="M271" s="3" t="n"/>
      <c r="N271" s="3" t="n"/>
      <c r="O271" s="4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4" t="n"/>
      <c r="M272" s="3" t="n"/>
      <c r="N272" s="3" t="n"/>
      <c r="O272" s="4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  <c r="M273" s="3" t="n"/>
      <c r="N273" s="3" t="n"/>
      <c r="O273" s="4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4" t="n"/>
      <c r="M274" s="3" t="n"/>
      <c r="N274" s="3" t="n"/>
      <c r="O274" s="4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4" t="n"/>
      <c r="M275" s="3" t="n"/>
      <c r="N275" s="3" t="n"/>
      <c r="O275" s="4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4" t="n"/>
      <c r="M276" s="3" t="n"/>
      <c r="N276" s="3" t="n"/>
      <c r="O276" s="4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  <c r="M277" s="3" t="n"/>
      <c r="N277" s="3" t="n"/>
      <c r="O277" s="4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  <c r="M278" s="3" t="n"/>
      <c r="N278" s="3" t="n"/>
      <c r="O278" s="4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  <c r="M279" s="3" t="n"/>
      <c r="N279" s="3" t="n"/>
      <c r="O279" s="4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  <c r="M280" s="3" t="n"/>
      <c r="N280" s="3" t="n"/>
      <c r="O280" s="4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4" t="n"/>
      <c r="M281" s="3" t="n"/>
      <c r="N281" s="3" t="n"/>
      <c r="O281" s="4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  <c r="M282" s="3" t="n"/>
      <c r="N282" s="3" t="n"/>
      <c r="O282" s="4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  <c r="M283" s="3" t="n"/>
      <c r="N283" s="3" t="n"/>
      <c r="O283" s="4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  <c r="M284" s="3" t="n"/>
      <c r="N284" s="3" t="n"/>
      <c r="O284" s="4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4" t="n"/>
      <c r="M285" s="3" t="n"/>
      <c r="N285" s="3" t="n"/>
      <c r="O285" s="4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  <c r="M286" s="3" t="n"/>
      <c r="N286" s="3" t="n"/>
      <c r="O286" s="4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  <c r="M287" s="3" t="n"/>
      <c r="N287" s="3" t="n"/>
      <c r="O287" s="4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4" t="n"/>
      <c r="M288" s="3" t="n"/>
      <c r="N288" s="3" t="n"/>
      <c r="O288" s="4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4" t="n"/>
      <c r="M289" s="3" t="n"/>
      <c r="N289" s="3" t="n"/>
      <c r="O289" s="4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4" t="n"/>
      <c r="M290" s="3" t="n"/>
      <c r="N290" s="3" t="n"/>
      <c r="O290" s="4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4" t="n"/>
      <c r="M291" s="3" t="n"/>
      <c r="N291" s="3" t="n"/>
      <c r="O291" s="4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4" t="n"/>
      <c r="M292" s="3" t="n"/>
      <c r="N292" s="3" t="n"/>
      <c r="O292" s="4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  <c r="M293" s="3" t="n"/>
      <c r="N293" s="3" t="n"/>
      <c r="O293" s="4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  <c r="M294" s="3" t="n"/>
      <c r="N294" s="3" t="n"/>
      <c r="O294" s="4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  <c r="M295" s="3" t="n"/>
      <c r="N295" s="3" t="n"/>
      <c r="O295" s="4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  <c r="M296" s="3" t="n"/>
      <c r="N296" s="3" t="n"/>
      <c r="O296" s="4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  <c r="M297" s="3" t="n"/>
      <c r="N297" s="3" t="n"/>
      <c r="O297" s="4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  <c r="M298" s="3" t="n"/>
      <c r="N298" s="3" t="n"/>
      <c r="O298" s="4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4" t="n"/>
      <c r="M299" s="3" t="n"/>
      <c r="N299" s="3" t="n"/>
      <c r="O299" s="4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  <c r="M300" s="3" t="n"/>
      <c r="N300" s="3" t="n"/>
      <c r="O300" s="4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4" t="n"/>
      <c r="M301" s="3" t="n"/>
      <c r="N301" s="3" t="n"/>
      <c r="O301" s="4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4" t="n"/>
      <c r="M302" s="3" t="n"/>
      <c r="N302" s="3" t="n"/>
      <c r="O302" s="4" t="n"/>
    </row>
  </sheetData>
  <autoFilter ref="A1:O302"/>
  <conditionalFormatting sqref="K2:K302">
    <cfRule type="cellIs" priority="1" operator="equal" dxfId="0">
      <formula>"已完成"</formula>
    </cfRule>
    <cfRule type="cellIs" priority="2" operator="equal" dxfId="1">
      <formula>"進行中"</formula>
    </cfRule>
    <cfRule type="cellIs" priority="3" operator="equal" dxfId="2">
      <formula>"需協助"</formula>
    </cfRule>
  </conditionalFormatting>
  <conditionalFormatting sqref="J2:J302">
    <cfRule type="cellIs" priority="4" operator="equal" dxfId="2">
      <formula>"待改善"</formula>
    </cfRule>
  </conditionalFormatting>
  <conditionalFormatting sqref="L2:L302">
    <cfRule type="expression" priority="5" dxfId="2">
      <formula>AND(L2&lt;&gt;"",L2&lt;TODAY(),K2&lt;&gt;"已完成")</formula>
    </cfRule>
  </conditionalFormatting>
  <dataValidations count="5">
    <dataValidation sqref="G2:G302" showDropDown="0" showInputMessage="0" showErrorMessage="0" allowBlank="1" errorTitle="輸入值不在清單內" error="請從下拉清單選擇" type="list">
      <formula1>=單位清單!$A$2:$A$60</formula1>
    </dataValidation>
    <dataValidation sqref="J2:J302" showDropDown="0" showInputMessage="0" showErrorMessage="0" allowBlank="1" errorTitle="輸入值不在清單內" error="請從下拉清單選擇" type="list">
      <formula1>"優良,符合,待改善,不適用"</formula1>
    </dataValidation>
    <dataValidation sqref="K2:K302" showDropDown="0" showInputMessage="0" showErrorMessage="0" allowBlank="1" errorTitle="輸入值不在清單內" error="請從下拉清單選擇" type="list">
      <formula1>"未開始,進行中,已完成,需協助"</formula1>
    </dataValidation>
    <dataValidation sqref="E2:E302" showDropDown="0" showInputMessage="0" showErrorMessage="0" allowBlank="1" errorTitle="輸入值不在清單內" error="請從下拉清單選擇" type="list">
      <formula1>"必要,重點,可免評,試評,一般"</formula1>
    </dataValidation>
    <dataValidation sqref="L2:L302 O2:O302" showDropDown="0" showInputMessage="0" showErrorMessage="0" allowBlank="1" error="請輸入日期，例如 2026/12/31" type="date" operator="greaterThan">
      <formula1>DATE(2000,1,1)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30" customHeight="1">
      <c r="A1" s="1" t="inlineStr">
        <is>
          <t>負責單位</t>
        </is>
      </c>
      <c r="C1" s="5" t="inlineStr">
        <is>
          <t>可直接在 A 欄新增或修改單位名稱，條文總表的下拉選單會同步更新。</t>
        </is>
      </c>
    </row>
    <row r="2">
      <c r="A2" s="6" t="inlineStr">
        <is>
          <t>品管中心</t>
        </is>
      </c>
    </row>
    <row r="3">
      <c r="A3" s="6" t="inlineStr">
        <is>
          <t>護理部</t>
        </is>
      </c>
    </row>
    <row r="4">
      <c r="A4" s="6" t="inlineStr">
        <is>
          <t>感染管制室</t>
        </is>
      </c>
    </row>
    <row r="5">
      <c r="A5" s="6" t="inlineStr">
        <is>
          <t>藥劑部</t>
        </is>
      </c>
    </row>
    <row r="6">
      <c r="A6" s="6" t="inlineStr">
        <is>
          <t>醫務企劃室</t>
        </is>
      </c>
    </row>
    <row r="7">
      <c r="A7" s="6" t="inlineStr">
        <is>
          <t>人力資源室</t>
        </is>
      </c>
    </row>
    <row r="8">
      <c r="A8" s="6" t="inlineStr">
        <is>
          <t>資訊室</t>
        </is>
      </c>
    </row>
    <row r="9">
      <c r="A9" s="6" t="inlineStr">
        <is>
          <t>醫務行政室</t>
        </is>
      </c>
    </row>
    <row r="10">
      <c r="A10" s="6" t="inlineStr">
        <is>
          <t>總務室</t>
        </is>
      </c>
    </row>
    <row r="11">
      <c r="A11" s="6" t="inlineStr">
        <is>
          <t>社會工作室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7" t="inlineStr">
        <is>
          <t>負責單位</t>
        </is>
      </c>
      <c r="B1" s="7" t="inlineStr">
        <is>
          <t>條文數</t>
        </is>
      </c>
      <c r="C1" s="7" t="inlineStr">
        <is>
          <t>未開始</t>
        </is>
      </c>
      <c r="D1" s="7" t="inlineStr">
        <is>
          <t>進行中</t>
        </is>
      </c>
      <c r="E1" s="7" t="inlineStr">
        <is>
          <t>已完成</t>
        </is>
      </c>
      <c r="F1" s="7" t="inlineStr">
        <is>
          <t>需協助</t>
        </is>
      </c>
      <c r="G1" s="7" t="inlineStr">
        <is>
          <t>完成率</t>
        </is>
      </c>
      <c r="H1" s="7" t="inlineStr">
        <is>
          <t>待改善</t>
        </is>
      </c>
      <c r="I1" s="7" t="inlineStr">
        <is>
          <t>期程差異</t>
        </is>
      </c>
    </row>
    <row r="2">
      <c r="A2" s="8">
        <f>單位清單!A2</f>
        <v/>
      </c>
      <c r="B2" s="8">
        <f>COUNTIF(條文總表!$G$2:$G$302,A2)</f>
        <v/>
      </c>
      <c r="C2" s="8">
        <f>COUNTIFS(條文總表!$G$2:$G$302,$A2,條文總表!$K$2:$K$302,"未開始")</f>
        <v/>
      </c>
      <c r="D2" s="8">
        <f>COUNTIFS(條文總表!$G$2:$G$302,$A2,條文總表!$K$2:$K$302,"進行中")</f>
        <v/>
      </c>
      <c r="E2" s="8">
        <f>COUNTIFS(條文總表!$G$2:$G$302,$A2,條文總表!$K$2:$K$302,"已完成")</f>
        <v/>
      </c>
      <c r="F2" s="8">
        <f>COUNTIFS(條文總表!$G$2:$G$302,$A2,條文總表!$K$2:$K$302,"需協助")</f>
        <v/>
      </c>
      <c r="G2" s="9">
        <f>IF(B2=0,"",E2/B2)</f>
        <v/>
      </c>
      <c r="H2" s="8">
        <f>COUNTIFS(條文總表!$G$2:$G$302,$A2,條文總表!$J$2:$J$302,"待改善")</f>
        <v/>
      </c>
      <c r="I2" s="8">
        <f>COUNTIFS(條文總表!$G$2:$G$302,$A2,條文總表!$L$2:$L$302,"&lt;"&amp;TODAY(),條文總表!$K$2:$K$302,"&lt;&gt;已完成")</f>
        <v/>
      </c>
    </row>
    <row r="3">
      <c r="A3" s="8">
        <f>單位清單!A3</f>
        <v/>
      </c>
      <c r="B3" s="8">
        <f>COUNTIF(條文總表!$G$2:$G$302,A3)</f>
        <v/>
      </c>
      <c r="C3" s="8">
        <f>COUNTIFS(條文總表!$G$2:$G$302,$A3,條文總表!$K$2:$K$302,"未開始")</f>
        <v/>
      </c>
      <c r="D3" s="8">
        <f>COUNTIFS(條文總表!$G$2:$G$302,$A3,條文總表!$K$2:$K$302,"進行中")</f>
        <v/>
      </c>
      <c r="E3" s="8">
        <f>COUNTIFS(條文總表!$G$2:$G$302,$A3,條文總表!$K$2:$K$302,"已完成")</f>
        <v/>
      </c>
      <c r="F3" s="8">
        <f>COUNTIFS(條文總表!$G$2:$G$302,$A3,條文總表!$K$2:$K$302,"需協助")</f>
        <v/>
      </c>
      <c r="G3" s="9">
        <f>IF(B3=0,"",E3/B3)</f>
        <v/>
      </c>
      <c r="H3" s="8">
        <f>COUNTIFS(條文總表!$G$2:$G$302,$A3,條文總表!$J$2:$J$302,"待改善")</f>
        <v/>
      </c>
      <c r="I3" s="8">
        <f>COUNTIFS(條文總表!$G$2:$G$302,$A3,條文總表!$L$2:$L$302,"&lt;"&amp;TODAY(),條文總表!$K$2:$K$302,"&lt;&gt;已完成")</f>
        <v/>
      </c>
    </row>
    <row r="4">
      <c r="A4" s="8">
        <f>單位清單!A4</f>
        <v/>
      </c>
      <c r="B4" s="8">
        <f>COUNTIF(條文總表!$G$2:$G$302,A4)</f>
        <v/>
      </c>
      <c r="C4" s="8">
        <f>COUNTIFS(條文總表!$G$2:$G$302,$A4,條文總表!$K$2:$K$302,"未開始")</f>
        <v/>
      </c>
      <c r="D4" s="8">
        <f>COUNTIFS(條文總表!$G$2:$G$302,$A4,條文總表!$K$2:$K$302,"進行中")</f>
        <v/>
      </c>
      <c r="E4" s="8">
        <f>COUNTIFS(條文總表!$G$2:$G$302,$A4,條文總表!$K$2:$K$302,"已完成")</f>
        <v/>
      </c>
      <c r="F4" s="8">
        <f>COUNTIFS(條文總表!$G$2:$G$302,$A4,條文總表!$K$2:$K$302,"需協助")</f>
        <v/>
      </c>
      <c r="G4" s="9">
        <f>IF(B4=0,"",E4/B4)</f>
        <v/>
      </c>
      <c r="H4" s="8">
        <f>COUNTIFS(條文總表!$G$2:$G$302,$A4,條文總表!$J$2:$J$302,"待改善")</f>
        <v/>
      </c>
      <c r="I4" s="8">
        <f>COUNTIFS(條文總表!$G$2:$G$302,$A4,條文總表!$L$2:$L$302,"&lt;"&amp;TODAY(),條文總表!$K$2:$K$302,"&lt;&gt;已完成")</f>
        <v/>
      </c>
    </row>
    <row r="5">
      <c r="A5" s="8">
        <f>單位清單!A5</f>
        <v/>
      </c>
      <c r="B5" s="8">
        <f>COUNTIF(條文總表!$G$2:$G$302,A5)</f>
        <v/>
      </c>
      <c r="C5" s="8">
        <f>COUNTIFS(條文總表!$G$2:$G$302,$A5,條文總表!$K$2:$K$302,"未開始")</f>
        <v/>
      </c>
      <c r="D5" s="8">
        <f>COUNTIFS(條文總表!$G$2:$G$302,$A5,條文總表!$K$2:$K$302,"進行中")</f>
        <v/>
      </c>
      <c r="E5" s="8">
        <f>COUNTIFS(條文總表!$G$2:$G$302,$A5,條文總表!$K$2:$K$302,"已完成")</f>
        <v/>
      </c>
      <c r="F5" s="8">
        <f>COUNTIFS(條文總表!$G$2:$G$302,$A5,條文總表!$K$2:$K$302,"需協助")</f>
        <v/>
      </c>
      <c r="G5" s="9">
        <f>IF(B5=0,"",E5/B5)</f>
        <v/>
      </c>
      <c r="H5" s="8">
        <f>COUNTIFS(條文總表!$G$2:$G$302,$A5,條文總表!$J$2:$J$302,"待改善")</f>
        <v/>
      </c>
      <c r="I5" s="8">
        <f>COUNTIFS(條文總表!$G$2:$G$302,$A5,條文總表!$L$2:$L$302,"&lt;"&amp;TODAY(),條文總表!$K$2:$K$302,"&lt;&gt;已完成")</f>
        <v/>
      </c>
    </row>
    <row r="6">
      <c r="A6" s="8">
        <f>單位清單!A6</f>
        <v/>
      </c>
      <c r="B6" s="8">
        <f>COUNTIF(條文總表!$G$2:$G$302,A6)</f>
        <v/>
      </c>
      <c r="C6" s="8">
        <f>COUNTIFS(條文總表!$G$2:$G$302,$A6,條文總表!$K$2:$K$302,"未開始")</f>
        <v/>
      </c>
      <c r="D6" s="8">
        <f>COUNTIFS(條文總表!$G$2:$G$302,$A6,條文總表!$K$2:$K$302,"進行中")</f>
        <v/>
      </c>
      <c r="E6" s="8">
        <f>COUNTIFS(條文總表!$G$2:$G$302,$A6,條文總表!$K$2:$K$302,"已完成")</f>
        <v/>
      </c>
      <c r="F6" s="8">
        <f>COUNTIFS(條文總表!$G$2:$G$302,$A6,條文總表!$K$2:$K$302,"需協助")</f>
        <v/>
      </c>
      <c r="G6" s="9">
        <f>IF(B6=0,"",E6/B6)</f>
        <v/>
      </c>
      <c r="H6" s="8">
        <f>COUNTIFS(條文總表!$G$2:$G$302,$A6,條文總表!$J$2:$J$302,"待改善")</f>
        <v/>
      </c>
      <c r="I6" s="8">
        <f>COUNTIFS(條文總表!$G$2:$G$302,$A6,條文總表!$L$2:$L$302,"&lt;"&amp;TODAY(),條文總表!$K$2:$K$302,"&lt;&gt;已完成")</f>
        <v/>
      </c>
    </row>
    <row r="7">
      <c r="A7" s="8">
        <f>單位清單!A7</f>
        <v/>
      </c>
      <c r="B7" s="8">
        <f>COUNTIF(條文總表!$G$2:$G$302,A7)</f>
        <v/>
      </c>
      <c r="C7" s="8">
        <f>COUNTIFS(條文總表!$G$2:$G$302,$A7,條文總表!$K$2:$K$302,"未開始")</f>
        <v/>
      </c>
      <c r="D7" s="8">
        <f>COUNTIFS(條文總表!$G$2:$G$302,$A7,條文總表!$K$2:$K$302,"進行中")</f>
        <v/>
      </c>
      <c r="E7" s="8">
        <f>COUNTIFS(條文總表!$G$2:$G$302,$A7,條文總表!$K$2:$K$302,"已完成")</f>
        <v/>
      </c>
      <c r="F7" s="8">
        <f>COUNTIFS(條文總表!$G$2:$G$302,$A7,條文總表!$K$2:$K$302,"需協助")</f>
        <v/>
      </c>
      <c r="G7" s="9">
        <f>IF(B7=0,"",E7/B7)</f>
        <v/>
      </c>
      <c r="H7" s="8">
        <f>COUNTIFS(條文總表!$G$2:$G$302,$A7,條文總表!$J$2:$J$302,"待改善")</f>
        <v/>
      </c>
      <c r="I7" s="8">
        <f>COUNTIFS(條文總表!$G$2:$G$302,$A7,條文總表!$L$2:$L$302,"&lt;"&amp;TODAY(),條文總表!$K$2:$K$302,"&lt;&gt;已完成")</f>
        <v/>
      </c>
    </row>
    <row r="8">
      <c r="A8" s="8">
        <f>單位清單!A8</f>
        <v/>
      </c>
      <c r="B8" s="8">
        <f>COUNTIF(條文總表!$G$2:$G$302,A8)</f>
        <v/>
      </c>
      <c r="C8" s="8">
        <f>COUNTIFS(條文總表!$G$2:$G$302,$A8,條文總表!$K$2:$K$302,"未開始")</f>
        <v/>
      </c>
      <c r="D8" s="8">
        <f>COUNTIFS(條文總表!$G$2:$G$302,$A8,條文總表!$K$2:$K$302,"進行中")</f>
        <v/>
      </c>
      <c r="E8" s="8">
        <f>COUNTIFS(條文總表!$G$2:$G$302,$A8,條文總表!$K$2:$K$302,"已完成")</f>
        <v/>
      </c>
      <c r="F8" s="8">
        <f>COUNTIFS(條文總表!$G$2:$G$302,$A8,條文總表!$K$2:$K$302,"需協助")</f>
        <v/>
      </c>
      <c r="G8" s="9">
        <f>IF(B8=0,"",E8/B8)</f>
        <v/>
      </c>
      <c r="H8" s="8">
        <f>COUNTIFS(條文總表!$G$2:$G$302,$A8,條文總表!$J$2:$J$302,"待改善")</f>
        <v/>
      </c>
      <c r="I8" s="8">
        <f>COUNTIFS(條文總表!$G$2:$G$302,$A8,條文總表!$L$2:$L$302,"&lt;"&amp;TODAY(),條文總表!$K$2:$K$302,"&lt;&gt;已完成")</f>
        <v/>
      </c>
    </row>
    <row r="9">
      <c r="A9" s="8">
        <f>單位清單!A9</f>
        <v/>
      </c>
      <c r="B9" s="8">
        <f>COUNTIF(條文總表!$G$2:$G$302,A9)</f>
        <v/>
      </c>
      <c r="C9" s="8">
        <f>COUNTIFS(條文總表!$G$2:$G$302,$A9,條文總表!$K$2:$K$302,"未開始")</f>
        <v/>
      </c>
      <c r="D9" s="8">
        <f>COUNTIFS(條文總表!$G$2:$G$302,$A9,條文總表!$K$2:$K$302,"進行中")</f>
        <v/>
      </c>
      <c r="E9" s="8">
        <f>COUNTIFS(條文總表!$G$2:$G$302,$A9,條文總表!$K$2:$K$302,"已完成")</f>
        <v/>
      </c>
      <c r="F9" s="8">
        <f>COUNTIFS(條文總表!$G$2:$G$302,$A9,條文總表!$K$2:$K$302,"需協助")</f>
        <v/>
      </c>
      <c r="G9" s="9">
        <f>IF(B9=0,"",E9/B9)</f>
        <v/>
      </c>
      <c r="H9" s="8">
        <f>COUNTIFS(條文總表!$G$2:$G$302,$A9,條文總表!$J$2:$J$302,"待改善")</f>
        <v/>
      </c>
      <c r="I9" s="8">
        <f>COUNTIFS(條文總表!$G$2:$G$302,$A9,條文總表!$L$2:$L$302,"&lt;"&amp;TODAY(),條文總表!$K$2:$K$302,"&lt;&gt;已完成")</f>
        <v/>
      </c>
    </row>
    <row r="10">
      <c r="A10" s="8">
        <f>單位清單!A10</f>
        <v/>
      </c>
      <c r="B10" s="8">
        <f>COUNTIF(條文總表!$G$2:$G$302,A10)</f>
        <v/>
      </c>
      <c r="C10" s="8">
        <f>COUNTIFS(條文總表!$G$2:$G$302,$A10,條文總表!$K$2:$K$302,"未開始")</f>
        <v/>
      </c>
      <c r="D10" s="8">
        <f>COUNTIFS(條文總表!$G$2:$G$302,$A10,條文總表!$K$2:$K$302,"進行中")</f>
        <v/>
      </c>
      <c r="E10" s="8">
        <f>COUNTIFS(條文總表!$G$2:$G$302,$A10,條文總表!$K$2:$K$302,"已完成")</f>
        <v/>
      </c>
      <c r="F10" s="8">
        <f>COUNTIFS(條文總表!$G$2:$G$302,$A10,條文總表!$K$2:$K$302,"需協助")</f>
        <v/>
      </c>
      <c r="G10" s="9">
        <f>IF(B10=0,"",E10/B10)</f>
        <v/>
      </c>
      <c r="H10" s="8">
        <f>COUNTIFS(條文總表!$G$2:$G$302,$A10,條文總表!$J$2:$J$302,"待改善")</f>
        <v/>
      </c>
      <c r="I10" s="8">
        <f>COUNTIFS(條文總表!$G$2:$G$302,$A10,條文總表!$L$2:$L$302,"&lt;"&amp;TODAY(),條文總表!$K$2:$K$302,"&lt;&gt;已完成")</f>
        <v/>
      </c>
    </row>
    <row r="11">
      <c r="A11" s="8">
        <f>單位清單!A11</f>
        <v/>
      </c>
      <c r="B11" s="8">
        <f>COUNTIF(條文總表!$G$2:$G$302,A11)</f>
        <v/>
      </c>
      <c r="C11" s="8">
        <f>COUNTIFS(條文總表!$G$2:$G$302,$A11,條文總表!$K$2:$K$302,"未開始")</f>
        <v/>
      </c>
      <c r="D11" s="8">
        <f>COUNTIFS(條文總表!$G$2:$G$302,$A11,條文總表!$K$2:$K$302,"進行中")</f>
        <v/>
      </c>
      <c r="E11" s="8">
        <f>COUNTIFS(條文總表!$G$2:$G$302,$A11,條文總表!$K$2:$K$302,"已完成")</f>
        <v/>
      </c>
      <c r="F11" s="8">
        <f>COUNTIFS(條文總表!$G$2:$G$302,$A11,條文總表!$K$2:$K$302,"需協助")</f>
        <v/>
      </c>
      <c r="G11" s="9">
        <f>IF(B11=0,"",E11/B11)</f>
        <v/>
      </c>
      <c r="H11" s="8">
        <f>COUNTIFS(條文總表!$G$2:$G$302,$A11,條文總表!$J$2:$J$302,"待改善")</f>
        <v/>
      </c>
      <c r="I11" s="8">
        <f>COUNTIFS(條文總表!$G$2:$G$302,$A11,條文總表!$L$2:$L$302,"&lt;"&amp;TODAY(),條文總表!$K$2:$K$302,"&lt;&gt;已完成")</f>
        <v/>
      </c>
    </row>
    <row r="12">
      <c r="A12" s="10" t="inlineStr">
        <is>
          <t>全院合計</t>
        </is>
      </c>
      <c r="B12" s="10">
        <f>COUNTA(條文總表!$C$2:$C$302)</f>
        <v/>
      </c>
      <c r="C12" s="10">
        <f>COUNTIF(條文總表!$K$2:$K$302,"未開始")</f>
        <v/>
      </c>
      <c r="D12" s="10">
        <f>COUNTIF(條文總表!$K$2:$K$302,"進行中")</f>
        <v/>
      </c>
      <c r="E12" s="10">
        <f>COUNTIF(條文總表!$K$2:$K$302,"已完成")</f>
        <v/>
      </c>
      <c r="F12" s="10">
        <f>COUNTIF(條文總表!$K$2:$K$302,"需協助")</f>
        <v/>
      </c>
      <c r="G12" s="11">
        <f>IF(B12=0,"",E12/B12)</f>
        <v/>
      </c>
      <c r="H12" s="10">
        <f>COUNTIF(條文總表!$J$2:$J$302,"待改善")</f>
        <v/>
      </c>
      <c r="I12" s="10">
        <f>COUNTIFS(條文總表!$L$2:$L$302,"&lt;"&amp;TODAY(),條文總表!$K$2:$K$302,"&lt;&gt;已完成")</f>
        <v/>
      </c>
    </row>
    <row r="13">
      <c r="A13" s="10" t="inlineStr">
        <is>
          <t>尚未指派單位</t>
        </is>
      </c>
      <c r="B13" s="10">
        <f>COUNTIFS(條文總表!$C$2:$C$302,"&lt;&gt;",條文總表!$G$2:$G$302,"")</f>
        <v/>
      </c>
      <c r="C13" s="10" t="n"/>
      <c r="D13" s="10" t="n"/>
      <c r="E13" s="10" t="n"/>
      <c r="F13" s="10" t="n"/>
      <c r="G13" s="10" t="n"/>
      <c r="H13" s="10" t="n"/>
      <c r="I13" s="10" t="n"/>
    </row>
    <row r="15">
      <c r="A15" s="5" t="inlineStr">
        <is>
          <t>期程差異：預計完成日已過、進度尚未標示為已完成的條數。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2026-10-14T13:11:31Z</dcterms:created>
  <dcterms:modified xmlns:dcterms="http://purl.org/dc/terms/" xmlns:xsi="http://www.w3.org/2001/XMLSchema-instance" xsi:type="dcterms:W3CDTF">2026-10-14T13:11:32Z</dcterms:modified>
</cp:coreProperties>
</file>